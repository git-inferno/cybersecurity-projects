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nithin/Downloads/"/>
    </mc:Choice>
  </mc:AlternateContent>
  <xr:revisionPtr revIDLastSave="0" documentId="13_ncr:1_{94B12717-0E3B-1849-A386-361B37F8188D}" xr6:coauthVersionLast="47" xr6:coauthVersionMax="47" xr10:uidLastSave="{00000000-0000-0000-0000-000000000000}"/>
  <bookViews>
    <workbookView xWindow="0" yWindow="660" windowWidth="30240" windowHeight="18980" tabRatio="500" activeTab="2" xr2:uid="{00000000-000D-0000-FFFF-FFFF00000000}"/>
  </bookViews>
  <sheets>
    <sheet name="Risk Register" sheetId="1" r:id="rId1"/>
    <sheet name="Heat Map" sheetId="2" r:id="rId2"/>
    <sheet name="Summary 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4" i="1" l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</calcChain>
</file>

<file path=xl/sharedStrings.xml><?xml version="1.0" encoding="utf-8"?>
<sst xmlns="http://schemas.openxmlformats.org/spreadsheetml/2006/main" count="188" uniqueCount="154">
  <si>
    <t>CYBERSECURITY RISK REGISTER</t>
  </si>
  <si>
    <t>Risk ID</t>
  </si>
  <si>
    <t>Category</t>
  </si>
  <si>
    <t>Risk Description</t>
  </si>
  <si>
    <t>Threat Source</t>
  </si>
  <si>
    <t>Affected Asset</t>
  </si>
  <si>
    <t>Likelihood
(1–5)</t>
  </si>
  <si>
    <t>Impact
(1–5)</t>
  </si>
  <si>
    <t>Risk Score
(L×I)</t>
  </si>
  <si>
    <t>Risk Level</t>
  </si>
  <si>
    <t>Existing Controls</t>
  </si>
  <si>
    <t>Recommended Mitigation</t>
  </si>
  <si>
    <t>Owner</t>
  </si>
  <si>
    <t>Due Date</t>
  </si>
  <si>
    <t>Status</t>
  </si>
  <si>
    <t>R-001</t>
  </si>
  <si>
    <t>Ransomware</t>
  </si>
  <si>
    <t>Ransomware attack encrypts patient records and billing systems</t>
  </si>
  <si>
    <t>External threat actor</t>
  </si>
  <si>
    <t>EHR system, Billing DB</t>
  </si>
  <si>
    <t>No offline backups; AV present but not updated</t>
  </si>
  <si>
    <t>Deploy immutable backups (3-2-1 rule); patch AV monthly; enable MFA on RDP</t>
  </si>
  <si>
    <t>IT Manager</t>
  </si>
  <si>
    <t>2026-08-01</t>
  </si>
  <si>
    <t>Open</t>
  </si>
  <si>
    <t>R-002</t>
  </si>
  <si>
    <t>Phishing</t>
  </si>
  <si>
    <t>Staff clicks phishing link exposing login credentials</t>
  </si>
  <si>
    <t>Email, Staff accounts</t>
  </si>
  <si>
    <t>Basic email filtering in place</t>
  </si>
  <si>
    <t>Security awareness training (quarterly); deploy DMARC/DKIM/SPF</t>
  </si>
  <si>
    <t>Office Manager</t>
  </si>
  <si>
    <t>2026-07-15</t>
  </si>
  <si>
    <t>R-003</t>
  </si>
  <si>
    <t>Insider Threat</t>
  </si>
  <si>
    <t>Disgruntled employee exfiltrates patient PII before resignation</t>
  </si>
  <si>
    <t>Malicious insider</t>
  </si>
  <si>
    <t>Patient PII, HR records</t>
  </si>
  <si>
    <t>Role-based access exists but not reviewed in 2 yrs</t>
  </si>
  <si>
    <t>Quarterly access reviews; DLP tool on endpoints; offboarding checklist</t>
  </si>
  <si>
    <t>HR Manager</t>
  </si>
  <si>
    <t>2026-09-01</t>
  </si>
  <si>
    <t>R-004</t>
  </si>
  <si>
    <t>Unpatched Systems</t>
  </si>
  <si>
    <t>Outdated Windows OS on front-desk computers exploited remotely</t>
  </si>
  <si>
    <t>Front-desk PCs</t>
  </si>
  <si>
    <t>Patches applied manually (ad hoc)</t>
  </si>
  <si>
    <t>Automated patch management (e.g. ManageEngine); monthly patch cycle</t>
  </si>
  <si>
    <t>2026-07-30</t>
  </si>
  <si>
    <t>In Progress</t>
  </si>
  <si>
    <t>R-005</t>
  </si>
  <si>
    <t>Weak Passwords</t>
  </si>
  <si>
    <t>Shared/weak passwords allow unauthorized access to scheduling software</t>
  </si>
  <si>
    <t>Internal/External</t>
  </si>
  <si>
    <t>Scheduling software</t>
  </si>
  <si>
    <t>No password policy enforced</t>
  </si>
  <si>
    <t>Enforce password policy; deploy password manager (e.g. Bitwarden)</t>
  </si>
  <si>
    <t>R-006</t>
  </si>
  <si>
    <t>Unencrypted USB</t>
  </si>
  <si>
    <t>Patient data copied to personal USB drives without encryption</t>
  </si>
  <si>
    <t>Insider (accidental)</t>
  </si>
  <si>
    <t>Patient records</t>
  </si>
  <si>
    <t>USB ports unrestricted</t>
  </si>
  <si>
    <t>Block USB via GPO; enforce data classification policy</t>
  </si>
  <si>
    <t>2026-08-15</t>
  </si>
  <si>
    <t>R-007</t>
  </si>
  <si>
    <t>No MFA on VPN</t>
  </si>
  <si>
    <t>Remote staff access clinic network without MFA</t>
  </si>
  <si>
    <t>VPN, Internal network</t>
  </si>
  <si>
    <t>VPN deployed; no MFA</t>
  </si>
  <si>
    <t>Enable MFA on VPN (Duo or Microsoft Authenticator)</t>
  </si>
  <si>
    <t>2026-07-01</t>
  </si>
  <si>
    <t>R-008</t>
  </si>
  <si>
    <t>HIPAA Non-compliance</t>
  </si>
  <si>
    <t>Missing HIPAA Security Rule documentation exposes clinic to audit penalties</t>
  </si>
  <si>
    <t>Regulatory</t>
  </si>
  <si>
    <t>All ePHI systems</t>
  </si>
  <si>
    <t>Informal policies only</t>
  </si>
  <si>
    <t>Draft HIPAA Security Rule policies; conduct annual risk analysis</t>
  </si>
  <si>
    <t>Compliance Officer</t>
  </si>
  <si>
    <t>2026-09-30</t>
  </si>
  <si>
    <t>R-009</t>
  </si>
  <si>
    <t>Physical Access</t>
  </si>
  <si>
    <t>Unauthorized person accesses server room due to missing door lock</t>
  </si>
  <si>
    <t>Physical threat</t>
  </si>
  <si>
    <t>On-prem server</t>
  </si>
  <si>
    <t>Server room unlocked regularly</t>
  </si>
  <si>
    <t>Install keycard access; maintain physical access log</t>
  </si>
  <si>
    <t>R-010</t>
  </si>
  <si>
    <t>No Incident Response Plan</t>
  </si>
  <si>
    <t>No documented IR plan means slow, inconsistent breach response</t>
  </si>
  <si>
    <t>Internal gap</t>
  </si>
  <si>
    <t>All systems</t>
  </si>
  <si>
    <t>Verbal guidance only</t>
  </si>
  <si>
    <t>Document and test an IR playbook based on NIST SP 800-61</t>
  </si>
  <si>
    <t>2026-10-01</t>
  </si>
  <si>
    <t>RISK HEAT MAP — Bright Dental Clinic</t>
  </si>
  <si>
    <t>Each cell shows Risk IDs that fall in that Likelihood × Impact zone</t>
  </si>
  <si>
    <t>IMPACT →</t>
  </si>
  <si>
    <t>1 – Negligible</t>
  </si>
  <si>
    <t>2 – Minor</t>
  </si>
  <si>
    <t>3 – Moderate</t>
  </si>
  <si>
    <t>4 – Major</t>
  </si>
  <si>
    <t>5 – Severe</t>
  </si>
  <si>
    <t>5 – Almost Certain</t>
  </si>
  <si>
    <t>Score: 5</t>
  </si>
  <si>
    <t>Score: 10</t>
  </si>
  <si>
    <t>Score: 15</t>
  </si>
  <si>
    <t>Score: 20</t>
  </si>
  <si>
    <t>Score: 25</t>
  </si>
  <si>
    <t>4 – Likely</t>
  </si>
  <si>
    <t>Score: 4</t>
  </si>
  <si>
    <t>Score: 8</t>
  </si>
  <si>
    <t>Score: 12
R-005</t>
  </si>
  <si>
    <t>Score: 16
R-002</t>
  </si>
  <si>
    <t>Score: 20
R-001</t>
  </si>
  <si>
    <t>3 – Possible</t>
  </si>
  <si>
    <t>Score: 3</t>
  </si>
  <si>
    <t>Score: 6</t>
  </si>
  <si>
    <t>Score: 9</t>
  </si>
  <si>
    <t>Score: 12
R-004, R-006</t>
  </si>
  <si>
    <t>Score: 15
R-007</t>
  </si>
  <si>
    <t>2 – Unlikely</t>
  </si>
  <si>
    <t>Score: 2</t>
  </si>
  <si>
    <t>Score: 8
R-009, R-010</t>
  </si>
  <si>
    <t>Score: 10
R-003, R-008</t>
  </si>
  <si>
    <t>1 – Rare</t>
  </si>
  <si>
    <t>Score: 1</t>
  </si>
  <si>
    <t>LEGEND</t>
  </si>
  <si>
    <t>Low (1–4)   Score &lt; 5</t>
  </si>
  <si>
    <t>Medium (5–9)   Score 5–9</t>
  </si>
  <si>
    <t>High (10–15)   Score 10–15</t>
  </si>
  <si>
    <t>Critical (16–25)   Score ≥ 16</t>
  </si>
  <si>
    <t>RISK SUMMARY DASHBOARD</t>
  </si>
  <si>
    <t>Total Risks
10</t>
  </si>
  <si>
    <t>Critical / High
3 / 4</t>
  </si>
  <si>
    <t>Open Items
9</t>
  </si>
  <si>
    <t>Medium Risks
2</t>
  </si>
  <si>
    <t>Low Risks
1</t>
  </si>
  <si>
    <t>In Progress
1</t>
  </si>
  <si>
    <t># Risks</t>
  </si>
  <si>
    <t>Highest Level</t>
  </si>
  <si>
    <t>Ransomware / Malware</t>
  </si>
  <si>
    <t>Critical</t>
  </si>
  <si>
    <t>Phishing / Social Eng.</t>
  </si>
  <si>
    <t>Patch Management</t>
  </si>
  <si>
    <t>High</t>
  </si>
  <si>
    <t>Access Control</t>
  </si>
  <si>
    <t>Data Handling</t>
  </si>
  <si>
    <t>Compliance (HIPAA)</t>
  </si>
  <si>
    <t>Physical Security</t>
  </si>
  <si>
    <t>Incident Response</t>
  </si>
  <si>
    <t>Instructions: Update the Risk Register sheet → scores and levels auto-calculate. Reflect changes in the Heat Map by updating the Risk IDs in each cell. Review this register quarterly or after any security incident.</t>
  </si>
  <si>
    <t>Company: Bright Dental Clinic  |  Prepared by: Nithin  |  Date: June 2026  |  Version: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</si>
</sst>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555555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9C5700"/>
      <name val="Arial"/>
      <charset val="1"/>
    </font>
    <font>
      <sz val="9"/>
      <color rgb="FF7F3F00"/>
      <name val="Arial"/>
      <charset val="1"/>
    </font>
    <font>
      <sz val="9"/>
      <color rgb="FF9C0006"/>
      <name val="Arial"/>
      <charset val="1"/>
    </font>
    <font>
      <sz val="9"/>
      <color rgb="FF276221"/>
      <name val="Arial"/>
      <charset val="1"/>
    </font>
    <font>
      <b/>
      <sz val="9"/>
      <color rgb="FF7F3F00"/>
      <name val="Arial"/>
      <charset val="1"/>
    </font>
    <font>
      <b/>
      <sz val="9"/>
      <color rgb="FF9C0006"/>
      <name val="Arial"/>
      <charset val="1"/>
    </font>
    <font>
      <b/>
      <sz val="9"/>
      <color rgb="FF9C5700"/>
      <name val="Arial"/>
      <charset val="1"/>
    </font>
    <font>
      <b/>
      <sz val="10"/>
      <color rgb="FFFFFFFF"/>
      <name val="Arial"/>
      <charset val="1"/>
    </font>
    <font>
      <b/>
      <sz val="10"/>
      <color rgb="FF276221"/>
      <name val="Arial"/>
      <charset val="1"/>
    </font>
    <font>
      <b/>
      <sz val="10"/>
      <color rgb="FF9C5700"/>
      <name val="Arial"/>
      <charset val="1"/>
    </font>
    <font>
      <b/>
      <sz val="10"/>
      <color rgb="FF7F3F00"/>
      <name val="Arial"/>
      <charset val="1"/>
    </font>
    <font>
      <b/>
      <sz val="10"/>
      <color rgb="FF9C0006"/>
      <name val="Arial"/>
      <charset val="1"/>
    </font>
    <font>
      <b/>
      <sz val="13"/>
      <color rgb="FFFFFFFF"/>
      <name val="Arial"/>
      <charset val="1"/>
    </font>
    <font>
      <b/>
      <sz val="13"/>
      <color rgb="FF9C0006"/>
      <name val="Arial"/>
      <charset val="1"/>
    </font>
    <font>
      <b/>
      <sz val="13"/>
      <color rgb="FF7F3F00"/>
      <name val="Arial"/>
      <charset val="1"/>
    </font>
    <font>
      <b/>
      <sz val="13"/>
      <color rgb="FF9C5700"/>
      <name val="Arial"/>
      <charset val="1"/>
    </font>
    <font>
      <b/>
      <sz val="13"/>
      <color rgb="FF276221"/>
      <name val="Arial"/>
      <charset val="1"/>
    </font>
    <font>
      <b/>
      <sz val="13"/>
      <color rgb="FF2E5F8A"/>
      <name val="Arial"/>
      <charset val="1"/>
    </font>
    <font>
      <i/>
      <sz val="9"/>
      <color rgb="FF555555"/>
      <name val="Arial"/>
      <charset val="1"/>
    </font>
    <font>
      <sz val="9"/>
      <color rgb="FF55555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C6EFCE"/>
      </patternFill>
    </fill>
    <fill>
      <patternFill patternType="solid">
        <fgColor rgb="FFFFFFFF"/>
        <bgColor rgb="FFF7FBFF"/>
      </patternFill>
    </fill>
    <fill>
      <patternFill patternType="solid">
        <fgColor rgb="FFF7FBFF"/>
        <bgColor rgb="FFFFFFFF"/>
      </patternFill>
    </fill>
    <fill>
      <patternFill patternType="solid">
        <fgColor rgb="FF2E5F8A"/>
        <bgColor rgb="FF555555"/>
      </patternFill>
    </fill>
    <fill>
      <patternFill patternType="solid">
        <fgColor rgb="FFFFEB9C"/>
        <bgColor rgb="FFFFCC99"/>
      </patternFill>
    </fill>
    <fill>
      <patternFill patternType="solid">
        <fgColor rgb="FFFFCC99"/>
        <bgColor rgb="FFFFEB9C"/>
      </patternFill>
    </fill>
    <fill>
      <patternFill patternType="solid">
        <fgColor rgb="FFFF9999"/>
        <bgColor rgb="FFFF8080"/>
      </patternFill>
    </fill>
    <fill>
      <patternFill patternType="solid">
        <fgColor rgb="FFC6EFCE"/>
        <bgColor rgb="FFD6E4F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3" fillId="10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left" vertical="center" wrapText="1"/>
    </xf>
    <xf numFmtId="0" fontId="2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b/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5700"/>
        <name val="Arial"/>
        <charset val="1"/>
      </font>
      <fill>
        <patternFill>
          <bgColor rgb="FFFFEB9C"/>
        </patternFill>
      </fill>
    </dxf>
    <dxf>
      <font>
        <b/>
        <sz val="10"/>
        <color rgb="FF7F3F00"/>
        <name val="Arial"/>
        <charset val="1"/>
      </font>
      <fill>
        <patternFill>
          <bgColor rgb="FFFFCC99"/>
        </patternFill>
      </fill>
    </dxf>
    <dxf>
      <font>
        <b/>
        <sz val="10"/>
        <color rgb="FF9C0006"/>
        <name val="Arial"/>
        <charset val="1"/>
      </font>
      <fill>
        <patternFill>
          <bgColor rgb="FFFF99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5700"/>
      <rgbColor rgb="FF800080"/>
      <rgbColor rgb="FF008080"/>
      <rgbColor rgb="FFBFBFBF"/>
      <rgbColor rgb="FF808080"/>
      <rgbColor rgb="FF9999FF"/>
      <rgbColor rgb="FF993366"/>
      <rgbColor rgb="FFF7FBFF"/>
      <rgbColor rgb="FFCCFFFF"/>
      <rgbColor rgb="FF660066"/>
      <rgbColor rgb="FFFF8080"/>
      <rgbColor rgb="FF2E5F8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N14"/>
  <sheetViews>
    <sheetView showGridLines="0" zoomScaleNormal="100" workbookViewId="0">
      <pane ySplit="4" topLeftCell="A5" activePane="bottomLeft" state="frozen"/>
      <selection pane="bottomLeft" activeCell="E20" sqref="E20"/>
    </sheetView>
  </sheetViews>
  <sheetFormatPr baseColWidth="10" defaultColWidth="8.6640625" defaultRowHeight="15" x14ac:dyDescent="0.2"/>
  <cols>
    <col min="1" max="1" width="9.33203125" customWidth="1"/>
    <col min="2" max="2" width="14" customWidth="1"/>
    <col min="3" max="3" width="35" customWidth="1"/>
    <col min="4" max="5" width="18" customWidth="1"/>
    <col min="6" max="6" width="11" customWidth="1"/>
    <col min="7" max="7" width="10" customWidth="1"/>
    <col min="8" max="8" width="12.5" customWidth="1"/>
    <col min="9" max="9" width="11" customWidth="1"/>
    <col min="10" max="10" width="28" customWidth="1"/>
    <col min="11" max="11" width="35" customWidth="1"/>
    <col min="12" max="12" width="14" customWidth="1"/>
    <col min="13" max="14" width="12" customWidth="1"/>
  </cols>
  <sheetData>
    <row r="1" spans="1:14" ht="36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 x14ac:dyDescent="0.2">
      <c r="A2" s="32" t="s">
        <v>153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6" customHeight="1" x14ac:dyDescent="0.2"/>
    <row r="4" spans="1:14" ht="30" customHeight="1" x14ac:dyDescent="0.2">
      <c r="A4" s="15" t="s">
        <v>1</v>
      </c>
      <c r="B4" s="15" t="s">
        <v>2</v>
      </c>
      <c r="C4" s="15" t="s">
        <v>3</v>
      </c>
      <c r="D4" s="15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5" t="s">
        <v>11</v>
      </c>
      <c r="L4" s="15" t="s">
        <v>12</v>
      </c>
      <c r="M4" s="15" t="s">
        <v>13</v>
      </c>
      <c r="N4" s="15" t="s">
        <v>14</v>
      </c>
    </row>
    <row r="5" spans="1:14" ht="43.5" customHeight="1" x14ac:dyDescent="0.2">
      <c r="A5" s="16" t="s">
        <v>15</v>
      </c>
      <c r="B5" s="17" t="s">
        <v>16</v>
      </c>
      <c r="C5" s="17" t="s">
        <v>17</v>
      </c>
      <c r="D5" s="17" t="s">
        <v>18</v>
      </c>
      <c r="E5" s="17" t="s">
        <v>19</v>
      </c>
      <c r="F5" s="16">
        <v>4</v>
      </c>
      <c r="G5" s="16">
        <v>5</v>
      </c>
      <c r="H5" s="16">
        <f t="shared" ref="H5:H14" si="0">F5*G5</f>
        <v>20</v>
      </c>
      <c r="I5" s="16" t="str">
        <f t="shared" ref="I5:I14" si="1">IF(H5&gt;=16,"Critical",IF(H5&gt;=10,"High",IF(H5&gt;=5,"Medium","Low")))</f>
        <v>Critical</v>
      </c>
      <c r="J5" s="17" t="s">
        <v>20</v>
      </c>
      <c r="K5" s="17" t="s">
        <v>21</v>
      </c>
      <c r="L5" s="16" t="s">
        <v>22</v>
      </c>
      <c r="M5" s="16" t="s">
        <v>23</v>
      </c>
      <c r="N5" s="16" t="s">
        <v>24</v>
      </c>
    </row>
    <row r="6" spans="1:14" ht="43.5" customHeight="1" x14ac:dyDescent="0.2">
      <c r="A6" s="18" t="s">
        <v>25</v>
      </c>
      <c r="B6" s="19" t="s">
        <v>26</v>
      </c>
      <c r="C6" s="19" t="s">
        <v>27</v>
      </c>
      <c r="D6" s="19" t="s">
        <v>18</v>
      </c>
      <c r="E6" s="19" t="s">
        <v>28</v>
      </c>
      <c r="F6" s="18">
        <v>4</v>
      </c>
      <c r="G6" s="18">
        <v>4</v>
      </c>
      <c r="H6" s="18">
        <f t="shared" si="0"/>
        <v>16</v>
      </c>
      <c r="I6" s="18" t="str">
        <f t="shared" si="1"/>
        <v>Critical</v>
      </c>
      <c r="J6" s="19" t="s">
        <v>29</v>
      </c>
      <c r="K6" s="19" t="s">
        <v>30</v>
      </c>
      <c r="L6" s="18" t="s">
        <v>31</v>
      </c>
      <c r="M6" s="18" t="s">
        <v>32</v>
      </c>
      <c r="N6" s="18" t="s">
        <v>24</v>
      </c>
    </row>
    <row r="7" spans="1:14" ht="43.5" customHeight="1" x14ac:dyDescent="0.2">
      <c r="A7" s="16" t="s">
        <v>33</v>
      </c>
      <c r="B7" s="17" t="s">
        <v>34</v>
      </c>
      <c r="C7" s="17" t="s">
        <v>35</v>
      </c>
      <c r="D7" s="17" t="s">
        <v>36</v>
      </c>
      <c r="E7" s="17" t="s">
        <v>37</v>
      </c>
      <c r="F7" s="16">
        <v>2</v>
      </c>
      <c r="G7" s="16">
        <v>5</v>
      </c>
      <c r="H7" s="16">
        <f t="shared" si="0"/>
        <v>10</v>
      </c>
      <c r="I7" s="16" t="str">
        <f t="shared" si="1"/>
        <v>High</v>
      </c>
      <c r="J7" s="17" t="s">
        <v>38</v>
      </c>
      <c r="K7" s="17" t="s">
        <v>39</v>
      </c>
      <c r="L7" s="16" t="s">
        <v>40</v>
      </c>
      <c r="M7" s="16" t="s">
        <v>41</v>
      </c>
      <c r="N7" s="16" t="s">
        <v>24</v>
      </c>
    </row>
    <row r="8" spans="1:14" ht="43.5" customHeight="1" x14ac:dyDescent="0.2">
      <c r="A8" s="18" t="s">
        <v>42</v>
      </c>
      <c r="B8" s="19" t="s">
        <v>43</v>
      </c>
      <c r="C8" s="19" t="s">
        <v>44</v>
      </c>
      <c r="D8" s="19" t="s">
        <v>18</v>
      </c>
      <c r="E8" s="19" t="s">
        <v>45</v>
      </c>
      <c r="F8" s="18">
        <v>3</v>
      </c>
      <c r="G8" s="18">
        <v>4</v>
      </c>
      <c r="H8" s="18">
        <f t="shared" si="0"/>
        <v>12</v>
      </c>
      <c r="I8" s="18" t="str">
        <f t="shared" si="1"/>
        <v>High</v>
      </c>
      <c r="J8" s="19" t="s">
        <v>46</v>
      </c>
      <c r="K8" s="19" t="s">
        <v>47</v>
      </c>
      <c r="L8" s="18" t="s">
        <v>22</v>
      </c>
      <c r="M8" s="18" t="s">
        <v>48</v>
      </c>
      <c r="N8" s="18" t="s">
        <v>49</v>
      </c>
    </row>
    <row r="9" spans="1:14" ht="43.5" customHeight="1" x14ac:dyDescent="0.2">
      <c r="A9" s="16" t="s">
        <v>50</v>
      </c>
      <c r="B9" s="17" t="s">
        <v>51</v>
      </c>
      <c r="C9" s="17" t="s">
        <v>52</v>
      </c>
      <c r="D9" s="17" t="s">
        <v>53</v>
      </c>
      <c r="E9" s="17" t="s">
        <v>54</v>
      </c>
      <c r="F9" s="16">
        <v>4</v>
      </c>
      <c r="G9" s="16">
        <v>3</v>
      </c>
      <c r="H9" s="16">
        <f t="shared" si="0"/>
        <v>12</v>
      </c>
      <c r="I9" s="16" t="str">
        <f t="shared" si="1"/>
        <v>High</v>
      </c>
      <c r="J9" s="17" t="s">
        <v>55</v>
      </c>
      <c r="K9" s="17" t="s">
        <v>56</v>
      </c>
      <c r="L9" s="16" t="s">
        <v>22</v>
      </c>
      <c r="M9" s="16" t="s">
        <v>32</v>
      </c>
      <c r="N9" s="16" t="s">
        <v>24</v>
      </c>
    </row>
    <row r="10" spans="1:14" ht="43.5" customHeight="1" x14ac:dyDescent="0.2">
      <c r="A10" s="18" t="s">
        <v>57</v>
      </c>
      <c r="B10" s="19" t="s">
        <v>58</v>
      </c>
      <c r="C10" s="19" t="s">
        <v>59</v>
      </c>
      <c r="D10" s="19" t="s">
        <v>60</v>
      </c>
      <c r="E10" s="19" t="s">
        <v>61</v>
      </c>
      <c r="F10" s="18">
        <v>3</v>
      </c>
      <c r="G10" s="18">
        <v>4</v>
      </c>
      <c r="H10" s="18">
        <f t="shared" si="0"/>
        <v>12</v>
      </c>
      <c r="I10" s="18" t="str">
        <f t="shared" si="1"/>
        <v>High</v>
      </c>
      <c r="J10" s="19" t="s">
        <v>62</v>
      </c>
      <c r="K10" s="19" t="s">
        <v>63</v>
      </c>
      <c r="L10" s="18" t="s">
        <v>22</v>
      </c>
      <c r="M10" s="18" t="s">
        <v>64</v>
      </c>
      <c r="N10" s="18" t="s">
        <v>24</v>
      </c>
    </row>
    <row r="11" spans="1:14" ht="43.5" customHeight="1" x14ac:dyDescent="0.2">
      <c r="A11" s="16" t="s">
        <v>65</v>
      </c>
      <c r="B11" s="17" t="s">
        <v>66</v>
      </c>
      <c r="C11" s="17" t="s">
        <v>67</v>
      </c>
      <c r="D11" s="17" t="s">
        <v>18</v>
      </c>
      <c r="E11" s="17" t="s">
        <v>68</v>
      </c>
      <c r="F11" s="16">
        <v>3</v>
      </c>
      <c r="G11" s="16">
        <v>5</v>
      </c>
      <c r="H11" s="16">
        <f t="shared" si="0"/>
        <v>15</v>
      </c>
      <c r="I11" s="16" t="str">
        <f t="shared" si="1"/>
        <v>High</v>
      </c>
      <c r="J11" s="17" t="s">
        <v>69</v>
      </c>
      <c r="K11" s="17" t="s">
        <v>70</v>
      </c>
      <c r="L11" s="16" t="s">
        <v>22</v>
      </c>
      <c r="M11" s="16" t="s">
        <v>71</v>
      </c>
      <c r="N11" s="16" t="s">
        <v>24</v>
      </c>
    </row>
    <row r="12" spans="1:14" ht="43.5" customHeight="1" x14ac:dyDescent="0.2">
      <c r="A12" s="18" t="s">
        <v>72</v>
      </c>
      <c r="B12" s="19" t="s">
        <v>73</v>
      </c>
      <c r="C12" s="19" t="s">
        <v>74</v>
      </c>
      <c r="D12" s="19" t="s">
        <v>75</v>
      </c>
      <c r="E12" s="19" t="s">
        <v>76</v>
      </c>
      <c r="F12" s="18">
        <v>2</v>
      </c>
      <c r="G12" s="18">
        <v>5</v>
      </c>
      <c r="H12" s="18">
        <f t="shared" si="0"/>
        <v>10</v>
      </c>
      <c r="I12" s="18" t="str">
        <f t="shared" si="1"/>
        <v>High</v>
      </c>
      <c r="J12" s="19" t="s">
        <v>77</v>
      </c>
      <c r="K12" s="19" t="s">
        <v>78</v>
      </c>
      <c r="L12" s="18" t="s">
        <v>79</v>
      </c>
      <c r="M12" s="18" t="s">
        <v>80</v>
      </c>
      <c r="N12" s="18" t="s">
        <v>24</v>
      </c>
    </row>
    <row r="13" spans="1:14" ht="43.5" customHeight="1" x14ac:dyDescent="0.2">
      <c r="A13" s="16" t="s">
        <v>81</v>
      </c>
      <c r="B13" s="17" t="s">
        <v>82</v>
      </c>
      <c r="C13" s="17" t="s">
        <v>83</v>
      </c>
      <c r="D13" s="17" t="s">
        <v>84</v>
      </c>
      <c r="E13" s="17" t="s">
        <v>85</v>
      </c>
      <c r="F13" s="16">
        <v>2</v>
      </c>
      <c r="G13" s="16">
        <v>4</v>
      </c>
      <c r="H13" s="16">
        <f t="shared" si="0"/>
        <v>8</v>
      </c>
      <c r="I13" s="16" t="str">
        <f t="shared" si="1"/>
        <v>Medium</v>
      </c>
      <c r="J13" s="17" t="s">
        <v>86</v>
      </c>
      <c r="K13" s="17" t="s">
        <v>87</v>
      </c>
      <c r="L13" s="16" t="s">
        <v>31</v>
      </c>
      <c r="M13" s="16" t="s">
        <v>23</v>
      </c>
      <c r="N13" s="16" t="s">
        <v>24</v>
      </c>
    </row>
    <row r="14" spans="1:14" ht="43.5" customHeight="1" x14ac:dyDescent="0.2">
      <c r="A14" s="18" t="s">
        <v>88</v>
      </c>
      <c r="B14" s="19" t="s">
        <v>89</v>
      </c>
      <c r="C14" s="19" t="s">
        <v>90</v>
      </c>
      <c r="D14" s="19" t="s">
        <v>91</v>
      </c>
      <c r="E14" s="19" t="s">
        <v>92</v>
      </c>
      <c r="F14" s="18">
        <v>2</v>
      </c>
      <c r="G14" s="18">
        <v>4</v>
      </c>
      <c r="H14" s="18">
        <f t="shared" si="0"/>
        <v>8</v>
      </c>
      <c r="I14" s="18" t="str">
        <f t="shared" si="1"/>
        <v>Medium</v>
      </c>
      <c r="J14" s="19" t="s">
        <v>93</v>
      </c>
      <c r="K14" s="19" t="s">
        <v>94</v>
      </c>
      <c r="L14" s="18" t="s">
        <v>22</v>
      </c>
      <c r="M14" s="18" t="s">
        <v>95</v>
      </c>
      <c r="N14" s="18" t="s">
        <v>24</v>
      </c>
    </row>
  </sheetData>
  <mergeCells count="2">
    <mergeCell ref="A1:N1"/>
    <mergeCell ref="A2:N2"/>
  </mergeCells>
  <conditionalFormatting sqref="I5:I14">
    <cfRule type="cellIs" dxfId="3" priority="2" operator="equal">
      <formula>"Critical"</formula>
    </cfRule>
    <cfRule type="cellIs" dxfId="2" priority="3" operator="equal">
      <formula>"High"</formula>
    </cfRule>
    <cfRule type="cellIs" dxfId="1" priority="4" operator="equal">
      <formula>"Medium"</formula>
    </cfRule>
    <cfRule type="cellIs" dxfId="0" priority="5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B1:G17"/>
  <sheetViews>
    <sheetView showGridLines="0" zoomScaleNormal="100" workbookViewId="0"/>
  </sheetViews>
  <sheetFormatPr baseColWidth="10" defaultColWidth="8.6640625" defaultRowHeight="15" x14ac:dyDescent="0.2"/>
  <cols>
    <col min="1" max="1" width="16" customWidth="1"/>
    <col min="2" max="7" width="18" customWidth="1"/>
    <col min="8" max="8" width="2" customWidth="1"/>
  </cols>
  <sheetData>
    <row r="1" spans="2:7" ht="31.5" customHeight="1" x14ac:dyDescent="0.2">
      <c r="B1" s="12" t="s">
        <v>96</v>
      </c>
      <c r="C1" s="12"/>
      <c r="D1" s="12"/>
      <c r="E1" s="12"/>
      <c r="F1" s="12"/>
      <c r="G1" s="12"/>
    </row>
    <row r="2" spans="2:7" ht="15.75" customHeight="1" x14ac:dyDescent="0.2">
      <c r="B2" s="13" t="s">
        <v>97</v>
      </c>
      <c r="C2" s="13"/>
      <c r="D2" s="13"/>
      <c r="E2" s="13"/>
      <c r="F2" s="13"/>
      <c r="G2" s="13"/>
    </row>
    <row r="3" spans="2:7" ht="7.5" customHeight="1" x14ac:dyDescent="0.2"/>
    <row r="4" spans="2:7" ht="25.5" customHeight="1" x14ac:dyDescent="0.2">
      <c r="C4" s="11" t="s">
        <v>98</v>
      </c>
      <c r="D4" s="11"/>
      <c r="E4" s="11"/>
      <c r="F4" s="11"/>
      <c r="G4" s="11"/>
    </row>
    <row r="5" spans="2:7" ht="24" customHeight="1" x14ac:dyDescent="0.2">
      <c r="C5" s="20" t="s">
        <v>99</v>
      </c>
      <c r="D5" s="20" t="s">
        <v>100</v>
      </c>
      <c r="E5" s="20" t="s">
        <v>101</v>
      </c>
      <c r="F5" s="20" t="s">
        <v>102</v>
      </c>
      <c r="G5" s="20" t="s">
        <v>103</v>
      </c>
    </row>
    <row r="6" spans="2:7" ht="55.5" customHeight="1" x14ac:dyDescent="0.2">
      <c r="B6" s="20" t="s">
        <v>104</v>
      </c>
      <c r="C6" s="21" t="s">
        <v>105</v>
      </c>
      <c r="D6" s="22" t="s">
        <v>106</v>
      </c>
      <c r="E6" s="23" t="s">
        <v>107</v>
      </c>
      <c r="F6" s="23" t="s">
        <v>108</v>
      </c>
      <c r="G6" s="23" t="s">
        <v>109</v>
      </c>
    </row>
    <row r="7" spans="2:7" ht="55.5" customHeight="1" x14ac:dyDescent="0.2">
      <c r="B7" s="20" t="s">
        <v>110</v>
      </c>
      <c r="C7" s="24" t="s">
        <v>111</v>
      </c>
      <c r="D7" s="21" t="s">
        <v>112</v>
      </c>
      <c r="E7" s="25" t="s">
        <v>113</v>
      </c>
      <c r="F7" s="26" t="s">
        <v>114</v>
      </c>
      <c r="G7" s="26" t="s">
        <v>115</v>
      </c>
    </row>
    <row r="8" spans="2:7" ht="55.5" customHeight="1" x14ac:dyDescent="0.2">
      <c r="B8" s="20" t="s">
        <v>116</v>
      </c>
      <c r="C8" s="24" t="s">
        <v>117</v>
      </c>
      <c r="D8" s="24" t="s">
        <v>118</v>
      </c>
      <c r="E8" s="21" t="s">
        <v>119</v>
      </c>
      <c r="F8" s="25" t="s">
        <v>120</v>
      </c>
      <c r="G8" s="26" t="s">
        <v>121</v>
      </c>
    </row>
    <row r="9" spans="2:7" ht="55.5" customHeight="1" x14ac:dyDescent="0.2">
      <c r="B9" s="20" t="s">
        <v>122</v>
      </c>
      <c r="C9" s="24" t="s">
        <v>123</v>
      </c>
      <c r="D9" s="24" t="s">
        <v>111</v>
      </c>
      <c r="E9" s="24" t="s">
        <v>118</v>
      </c>
      <c r="F9" s="27" t="s">
        <v>124</v>
      </c>
      <c r="G9" s="25" t="s">
        <v>125</v>
      </c>
    </row>
    <row r="10" spans="2:7" ht="55.5" customHeight="1" x14ac:dyDescent="0.2">
      <c r="B10" s="20" t="s">
        <v>126</v>
      </c>
      <c r="C10" s="24" t="s">
        <v>127</v>
      </c>
      <c r="D10" s="24" t="s">
        <v>123</v>
      </c>
      <c r="E10" s="24" t="s">
        <v>117</v>
      </c>
      <c r="F10" s="24" t="s">
        <v>111</v>
      </c>
      <c r="G10" s="21" t="s">
        <v>105</v>
      </c>
    </row>
    <row r="12" spans="2:7" ht="7.5" customHeight="1" x14ac:dyDescent="0.2"/>
    <row r="13" spans="2:7" ht="21.75" customHeight="1" x14ac:dyDescent="0.2">
      <c r="C13" s="10" t="s">
        <v>128</v>
      </c>
      <c r="D13" s="10"/>
      <c r="E13" s="10"/>
      <c r="F13" s="10"/>
      <c r="G13" s="10"/>
    </row>
    <row r="14" spans="2:7" ht="21.75" customHeight="1" x14ac:dyDescent="0.2">
      <c r="C14" s="9" t="s">
        <v>129</v>
      </c>
      <c r="D14" s="9"/>
      <c r="E14" s="9"/>
      <c r="F14" s="9"/>
      <c r="G14" s="9"/>
    </row>
    <row r="15" spans="2:7" ht="21.75" customHeight="1" x14ac:dyDescent="0.2">
      <c r="C15" s="8" t="s">
        <v>130</v>
      </c>
      <c r="D15" s="8"/>
      <c r="E15" s="8"/>
      <c r="F15" s="8"/>
      <c r="G15" s="8"/>
    </row>
    <row r="16" spans="2:7" ht="21.75" customHeight="1" x14ac:dyDescent="0.2">
      <c r="C16" s="7" t="s">
        <v>131</v>
      </c>
      <c r="D16" s="7"/>
      <c r="E16" s="7"/>
      <c r="F16" s="7"/>
      <c r="G16" s="7"/>
    </row>
    <row r="17" spans="3:7" ht="21.75" customHeight="1" x14ac:dyDescent="0.2">
      <c r="C17" s="6" t="s">
        <v>132</v>
      </c>
      <c r="D17" s="6"/>
      <c r="E17" s="6"/>
      <c r="F17" s="6"/>
      <c r="G17" s="6"/>
    </row>
  </sheetData>
  <mergeCells count="8">
    <mergeCell ref="C15:G15"/>
    <mergeCell ref="C16:G16"/>
    <mergeCell ref="C17:G17"/>
    <mergeCell ref="B1:G1"/>
    <mergeCell ref="B2:G2"/>
    <mergeCell ref="C4:G4"/>
    <mergeCell ref="C13:G13"/>
    <mergeCell ref="C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8A"/>
  </sheetPr>
  <dimension ref="B1:J22"/>
  <sheetViews>
    <sheetView showGridLines="0" tabSelected="1" zoomScaleNormal="100" workbookViewId="0"/>
  </sheetViews>
  <sheetFormatPr baseColWidth="10" defaultColWidth="8.6640625" defaultRowHeight="15" x14ac:dyDescent="0.2"/>
  <cols>
    <col min="1" max="1" width="3" customWidth="1"/>
    <col min="2" max="2" width="26" customWidth="1"/>
    <col min="3" max="3" width="10" customWidth="1"/>
    <col min="4" max="4" width="14" customWidth="1"/>
    <col min="5" max="6" width="16" customWidth="1"/>
    <col min="7" max="7" width="3" customWidth="1"/>
    <col min="8" max="9" width="16" customWidth="1"/>
    <col min="10" max="10" width="3" customWidth="1"/>
  </cols>
  <sheetData>
    <row r="1" spans="2:10" ht="31.5" customHeight="1" x14ac:dyDescent="0.2">
      <c r="B1" s="12" t="s">
        <v>133</v>
      </c>
      <c r="C1" s="12"/>
      <c r="D1" s="12"/>
      <c r="E1" s="12"/>
      <c r="F1" s="12"/>
      <c r="G1" s="12"/>
      <c r="H1" s="12"/>
      <c r="I1" s="12"/>
      <c r="J1" s="12"/>
    </row>
    <row r="3" spans="2:10" ht="37.5" customHeight="1" x14ac:dyDescent="0.2">
      <c r="B3" s="5" t="s">
        <v>134</v>
      </c>
      <c r="C3" s="5"/>
      <c r="E3" s="4" t="s">
        <v>135</v>
      </c>
      <c r="F3" s="4"/>
      <c r="H3" s="3" t="s">
        <v>136</v>
      </c>
      <c r="I3" s="3"/>
    </row>
    <row r="4" spans="2:10" ht="37.5" customHeight="1" x14ac:dyDescent="0.2">
      <c r="B4" s="5"/>
      <c r="C4" s="5"/>
      <c r="E4" s="4"/>
      <c r="F4" s="4"/>
      <c r="H4" s="3"/>
      <c r="I4" s="3"/>
    </row>
    <row r="5" spans="2:10" ht="37.5" customHeight="1" x14ac:dyDescent="0.2"/>
    <row r="6" spans="2:10" ht="37.5" customHeight="1" x14ac:dyDescent="0.2">
      <c r="B6" s="2" t="s">
        <v>137</v>
      </c>
      <c r="C6" s="2"/>
      <c r="E6" s="1" t="s">
        <v>138</v>
      </c>
      <c r="F6" s="1"/>
      <c r="H6" s="30" t="s">
        <v>139</v>
      </c>
      <c r="I6" s="30"/>
    </row>
    <row r="7" spans="2:10" ht="37.5" customHeight="1" x14ac:dyDescent="0.2">
      <c r="B7" s="2"/>
      <c r="C7" s="2"/>
      <c r="E7" s="1"/>
      <c r="F7" s="1"/>
      <c r="H7" s="30"/>
      <c r="I7" s="30"/>
    </row>
    <row r="9" spans="2:10" ht="7.5" customHeight="1" x14ac:dyDescent="0.2"/>
    <row r="10" spans="2:10" ht="25.5" customHeight="1" x14ac:dyDescent="0.2">
      <c r="B10" s="15" t="s">
        <v>2</v>
      </c>
      <c r="C10" s="15" t="s">
        <v>140</v>
      </c>
      <c r="D10" s="15" t="s">
        <v>141</v>
      </c>
    </row>
    <row r="11" spans="2:10" ht="21.75" customHeight="1" x14ac:dyDescent="0.2">
      <c r="B11" s="17" t="s">
        <v>142</v>
      </c>
      <c r="C11" s="16">
        <v>1</v>
      </c>
      <c r="D11" s="28" t="s">
        <v>143</v>
      </c>
    </row>
    <row r="12" spans="2:10" ht="21.75" customHeight="1" x14ac:dyDescent="0.2">
      <c r="B12" s="19" t="s">
        <v>144</v>
      </c>
      <c r="C12" s="18">
        <v>1</v>
      </c>
      <c r="D12" s="28" t="s">
        <v>143</v>
      </c>
    </row>
    <row r="13" spans="2:10" ht="21.75" customHeight="1" x14ac:dyDescent="0.2">
      <c r="B13" s="17" t="s">
        <v>34</v>
      </c>
      <c r="C13" s="16">
        <v>1</v>
      </c>
      <c r="D13" s="28" t="s">
        <v>143</v>
      </c>
    </row>
    <row r="14" spans="2:10" ht="21.75" customHeight="1" x14ac:dyDescent="0.2">
      <c r="B14" s="19" t="s">
        <v>145</v>
      </c>
      <c r="C14" s="18">
        <v>1</v>
      </c>
      <c r="D14" s="29" t="s">
        <v>146</v>
      </c>
    </row>
    <row r="15" spans="2:10" ht="21.75" customHeight="1" x14ac:dyDescent="0.2">
      <c r="B15" s="17" t="s">
        <v>147</v>
      </c>
      <c r="C15" s="16">
        <v>2</v>
      </c>
      <c r="D15" s="29" t="s">
        <v>146</v>
      </c>
    </row>
    <row r="16" spans="2:10" ht="21.75" customHeight="1" x14ac:dyDescent="0.2">
      <c r="B16" s="19" t="s">
        <v>148</v>
      </c>
      <c r="C16" s="18">
        <v>1</v>
      </c>
      <c r="D16" s="29" t="s">
        <v>146</v>
      </c>
    </row>
    <row r="17" spans="2:10" ht="21.75" customHeight="1" x14ac:dyDescent="0.2">
      <c r="B17" s="17" t="s">
        <v>149</v>
      </c>
      <c r="C17" s="16">
        <v>1</v>
      </c>
      <c r="D17" s="28" t="s">
        <v>143</v>
      </c>
    </row>
    <row r="18" spans="2:10" ht="21.75" customHeight="1" x14ac:dyDescent="0.2">
      <c r="B18" s="19" t="s">
        <v>150</v>
      </c>
      <c r="C18" s="18">
        <v>1</v>
      </c>
      <c r="D18" s="29" t="s">
        <v>146</v>
      </c>
    </row>
    <row r="19" spans="2:10" ht="21.75" customHeight="1" x14ac:dyDescent="0.2">
      <c r="B19" s="17" t="s">
        <v>151</v>
      </c>
      <c r="C19" s="16">
        <v>1</v>
      </c>
      <c r="D19" s="29" t="s">
        <v>146</v>
      </c>
    </row>
    <row r="22" spans="2:10" ht="39.75" customHeight="1" x14ac:dyDescent="0.2">
      <c r="B22" s="31" t="s">
        <v>152</v>
      </c>
      <c r="C22" s="31"/>
      <c r="D22" s="31"/>
      <c r="E22" s="31"/>
      <c r="F22" s="31"/>
      <c r="G22" s="31"/>
      <c r="H22" s="31"/>
      <c r="I22" s="31"/>
      <c r="J22" s="31"/>
    </row>
  </sheetData>
  <mergeCells count="8">
    <mergeCell ref="B22:J22"/>
    <mergeCell ref="B1:J1"/>
    <mergeCell ref="B3:C4"/>
    <mergeCell ref="E3:F4"/>
    <mergeCell ref="H3:I4"/>
    <mergeCell ref="B6:C7"/>
    <mergeCell ref="E6:F7"/>
    <mergeCell ref="H6:I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Heat Map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Nithin George Joseph</cp:lastModifiedBy>
  <cp:revision>0</cp:revision>
  <dcterms:created xsi:type="dcterms:W3CDTF">2026-06-29T03:14:50Z</dcterms:created>
  <dcterms:modified xsi:type="dcterms:W3CDTF">2026-06-29T03:23:38Z</dcterms:modified>
  <dc:language>en-US</dc:language>
</cp:coreProperties>
</file>